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i\Casa\ETF_App\etf-server\"/>
    </mc:Choice>
  </mc:AlternateContent>
  <xr:revisionPtr revIDLastSave="0" documentId="13_ncr:1_{93437359-EC6E-4CBE-B383-CAD8E3389370}" xr6:coauthVersionLast="47" xr6:coauthVersionMax="47" xr10:uidLastSave="{00000000-0000-0000-0000-000000000000}"/>
  <bookViews>
    <workbookView xWindow="2232" yWindow="2232" windowWidth="17280" windowHeight="8880" activeTab="1" xr2:uid="{00000000-000D-0000-FFFF-FFFF00000000}"/>
  </bookViews>
  <sheets>
    <sheet name="Istruzioni" sheetId="1" r:id="rId1"/>
    <sheet name="Portafogl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3" i="2" l="1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21" i="1"/>
  <c r="E20" i="1"/>
  <c r="E19" i="1"/>
  <c r="E34" i="2" l="1"/>
</calcChain>
</file>

<file path=xl/sharedStrings.xml><?xml version="1.0" encoding="utf-8"?>
<sst xmlns="http://schemas.openxmlformats.org/spreadsheetml/2006/main" count="65" uniqueCount="61">
  <si>
    <t>ETF Portfolio Manager — Template Import Portafoglio</t>
  </si>
  <si>
    <t>Compila il foglio "Portafoglio" con i tuoi ETF e importa il file nell'applicazione</t>
  </si>
  <si>
    <t>ISTRUZIONI</t>
  </si>
  <si>
    <t>1.</t>
  </si>
  <si>
    <t>Vai al foglio "Portafoglio" (tab in basso)</t>
  </si>
  <si>
    <t>2.</t>
  </si>
  <si>
    <t>Per ogni ETF inserisci: ISIN (obbligatorio), Nome, Quantità e Prezzo di carico</t>
  </si>
  <si>
    <t>3.</t>
  </si>
  <si>
    <t>Il codice ISIN è composto da 12 caratteri (es. IE00B4L5Y983)</t>
  </si>
  <si>
    <t>4.</t>
  </si>
  <si>
    <t>La Quantità è il numero di quote possedute (es. 50)</t>
  </si>
  <si>
    <t>5.</t>
  </si>
  <si>
    <t>Il Prezzo di carico è il prezzo medio di acquisto in Euro (es. 112.50)</t>
  </si>
  <si>
    <t>6.</t>
  </si>
  <si>
    <t>Il campo Note è opzionale — usa per annotazioni personali</t>
  </si>
  <si>
    <t>7.</t>
  </si>
  <si>
    <t>Non modificare le intestazioni delle colonne</t>
  </si>
  <si>
    <t>8.</t>
  </si>
  <si>
    <t>Salva il file in formato .xlsx e importalo nell'app</t>
  </si>
  <si>
    <t>ESEMPIO</t>
  </si>
  <si>
    <t>ISIN</t>
  </si>
  <si>
    <t>Nome ETF</t>
  </si>
  <si>
    <t>Quantità</t>
  </si>
  <si>
    <t>Prezzo carico (€)</t>
  </si>
  <si>
    <t>Valore totale (€)</t>
  </si>
  <si>
    <t>Note</t>
  </si>
  <si>
    <t>IE00B4L5Y983</t>
  </si>
  <si>
    <t>iShares Core MSCI World UCITS ETF</t>
  </si>
  <si>
    <t>ETF core globale</t>
  </si>
  <si>
    <t>IE00BKM4GZ66</t>
  </si>
  <si>
    <t>iShares Core MSCI EM IMI UCITS ETF</t>
  </si>
  <si>
    <t>Mercati emergenti</t>
  </si>
  <si>
    <t>LU0290356871</t>
  </si>
  <si>
    <t>Xtrackers Eurozone Govt Bond 1-3Y</t>
  </si>
  <si>
    <t>Obblig. breve termine</t>
  </si>
  <si>
    <t>⚠️  ETF non presenti nel catalogo verranno aggiunti come "Custom" con dati limitati</t>
  </si>
  <si>
    <t>Il tuo Portafoglio ETF — Compila da riga 4 in poi</t>
  </si>
  <si>
    <t>ISIN *</t>
  </si>
  <si>
    <t>Quantità *</t>
  </si>
  <si>
    <t>TOTALE</t>
  </si>
  <si>
    <t>* Campi obbligatori    |    Il Valore totale viene calcolato automaticamente    |    Inserisci uno ISIN per riga</t>
  </si>
  <si>
    <t>IE00BP3QZ825</t>
  </si>
  <si>
    <t>IE00BQN1K901</t>
  </si>
  <si>
    <t>IE00BM67HK77</t>
  </si>
  <si>
    <t>IE00BD6FTQ80</t>
  </si>
  <si>
    <t>IE00B4L5YC18</t>
  </si>
  <si>
    <t>LU0290358497</t>
  </si>
  <si>
    <t>IE00B5BMR087</t>
  </si>
  <si>
    <t>IE000M7V94E1</t>
  </si>
  <si>
    <t>LU2951555403</t>
  </si>
  <si>
    <t>IE00BMDFDY08</t>
  </si>
  <si>
    <t>iShares Edge MSCI World Momentum Factor UCITS ETF USD (Acc)</t>
  </si>
  <si>
    <t>iShares Edge MSCI Europe Value Factor UCITS ETF EUR (Acc)</t>
  </si>
  <si>
    <t>Xtrackers MSCI World Health Care UCITS ETF 1C</t>
  </si>
  <si>
    <t>Invesco Bloomberg Commodity UCITS ETF Acc</t>
  </si>
  <si>
    <t>iShares MSCI EM UCITS ETF USD (Acc)</t>
  </si>
  <si>
    <t>Xtrackers II EUR Overnight Rate Swap UCITS ETF 1C</t>
  </si>
  <si>
    <t>iShares Core S&amp;P 500 UCITS ETF USD (Acc)</t>
  </si>
  <si>
    <t>VanEck Uranium and Nuclear Technologies UCITS ETF</t>
  </si>
  <si>
    <t>iMGP DBi Managed Futures Fund R EUR UCITS ETF</t>
  </si>
  <si>
    <t>iShares $ High Yield Corp Bond ESG SRI UCITS ETF EUR Hedged (Acc)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</si>
</sst>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sz val="11"/>
      <color rgb="FF2E75B6"/>
      <name val="Arial"/>
    </font>
    <font>
      <b/>
      <sz val="13"/>
      <color rgb="FF1E3A5F"/>
      <name val="Arial"/>
    </font>
    <font>
      <b/>
      <sz val="11"/>
      <color rgb="FFD4AF37"/>
      <name val="Arial"/>
    </font>
    <font>
      <sz val="11"/>
      <color rgb="FF000000"/>
      <name val="Arial"/>
    </font>
    <font>
      <b/>
      <sz val="10"/>
      <color rgb="FFFFFFFF"/>
      <name val="Arial"/>
    </font>
    <font>
      <sz val="10"/>
      <name val="Arial"/>
    </font>
    <font>
      <sz val="10"/>
      <color rgb="FFC00000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b/>
      <sz val="11"/>
      <color rgb="FF2E75B6"/>
      <name val="Arial"/>
    </font>
    <font>
      <sz val="11"/>
      <name val="Arial"/>
    </font>
    <font>
      <sz val="11"/>
      <color rgb="FF217346"/>
      <name val="Arial"/>
    </font>
    <font>
      <i/>
      <sz val="11"/>
      <color rgb="FF595959"/>
      <name val="Arial"/>
    </font>
    <font>
      <b/>
      <sz val="12"/>
      <color rgb="FFD4AF37"/>
      <name val="Arial"/>
    </font>
    <font>
      <sz val="9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1E3A5F"/>
      </left>
      <right style="thin">
        <color rgb="FF1E3A5F"/>
      </right>
      <top style="thin">
        <color rgb="FF1E3A5F"/>
      </top>
      <bottom style="medium">
        <color rgb="FFD4AF37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/>
    </xf>
    <xf numFmtId="0" fontId="7" fillId="5" borderId="0" xfId="0" applyFont="1" applyFill="1"/>
    <xf numFmtId="0" fontId="7" fillId="5" borderId="0" xfId="0" applyFont="1" applyFill="1" applyAlignment="1">
      <alignment horizontal="right"/>
    </xf>
    <xf numFmtId="4" fontId="7" fillId="5" borderId="0" xfId="0" applyNumberFormat="1" applyFont="1" applyFill="1" applyAlignment="1">
      <alignment horizontal="right"/>
    </xf>
    <xf numFmtId="0" fontId="7" fillId="6" borderId="0" xfId="0" applyFont="1" applyFill="1"/>
    <xf numFmtId="0" fontId="7" fillId="6" borderId="0" xfId="0" applyFont="1" applyFill="1" applyAlignment="1">
      <alignment horizontal="right"/>
    </xf>
    <xf numFmtId="4" fontId="7" fillId="6" borderId="0" xfId="0" applyNumberFormat="1" applyFont="1" applyFill="1" applyAlignment="1">
      <alignment horizontal="right"/>
    </xf>
    <xf numFmtId="0" fontId="10" fillId="2" borderId="1" xfId="0" applyFont="1" applyFill="1" applyBorder="1" applyAlignment="1">
      <alignment horizontal="center" vertical="center"/>
    </xf>
    <xf numFmtId="0" fontId="11" fillId="5" borderId="0" xfId="0" applyFont="1" applyFill="1" applyAlignment="1">
      <alignment horizontal="center"/>
    </xf>
    <xf numFmtId="0" fontId="12" fillId="5" borderId="0" xfId="0" applyFont="1" applyFill="1"/>
    <xf numFmtId="3" fontId="12" fillId="5" borderId="0" xfId="0" applyNumberFormat="1" applyFont="1" applyFill="1" applyAlignment="1">
      <alignment horizontal="right"/>
    </xf>
    <xf numFmtId="4" fontId="12" fillId="5" borderId="0" xfId="0" applyNumberFormat="1" applyFont="1" applyFill="1" applyAlignment="1">
      <alignment horizontal="right"/>
    </xf>
    <xf numFmtId="4" fontId="13" fillId="5" borderId="0" xfId="0" applyNumberFormat="1" applyFont="1" applyFill="1" applyAlignment="1">
      <alignment horizontal="right"/>
    </xf>
    <xf numFmtId="0" fontId="14" fillId="5" borderId="0" xfId="0" applyFont="1" applyFill="1"/>
    <xf numFmtId="0" fontId="11" fillId="6" borderId="0" xfId="0" applyFont="1" applyFill="1" applyAlignment="1">
      <alignment horizontal="center"/>
    </xf>
    <xf numFmtId="0" fontId="12" fillId="6" borderId="0" xfId="0" applyFont="1" applyFill="1"/>
    <xf numFmtId="3" fontId="12" fillId="6" borderId="0" xfId="0" applyNumberFormat="1" applyFont="1" applyFill="1" applyAlignment="1">
      <alignment horizontal="right"/>
    </xf>
    <xf numFmtId="4" fontId="12" fillId="6" borderId="0" xfId="0" applyNumberFormat="1" applyFont="1" applyFill="1" applyAlignment="1">
      <alignment horizontal="right"/>
    </xf>
    <xf numFmtId="4" fontId="13" fillId="6" borderId="0" xfId="0" applyNumberFormat="1" applyFont="1" applyFill="1" applyAlignment="1">
      <alignment horizontal="right"/>
    </xf>
    <xf numFmtId="0" fontId="14" fillId="6" borderId="0" xfId="0" applyFont="1" applyFill="1"/>
    <xf numFmtId="4" fontId="15" fillId="2" borderId="0" xfId="0" applyNumberFormat="1" applyFont="1" applyFill="1" applyAlignment="1">
      <alignment horizontal="right"/>
    </xf>
    <xf numFmtId="0" fontId="8" fillId="7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workbookViewId="0"/>
  </sheetViews>
  <sheetFormatPr defaultRowHeight="14.4" x14ac:dyDescent="0.3"/>
  <cols>
    <col min="1" max="1" width="18" customWidth="1"/>
    <col min="2" max="2" width="40" customWidth="1"/>
    <col min="3" max="3" width="14" customWidth="1"/>
    <col min="4" max="4" width="20" customWidth="1"/>
    <col min="5" max="5" width="18" customWidth="1"/>
    <col min="6" max="6" width="25" customWidth="1"/>
  </cols>
  <sheetData>
    <row r="1" spans="1:6" ht="49.95" customHeight="1" x14ac:dyDescent="0.3">
      <c r="A1" s="28" t="s">
        <v>0</v>
      </c>
      <c r="B1" s="25"/>
      <c r="C1" s="25"/>
      <c r="D1" s="25"/>
      <c r="E1" s="25"/>
      <c r="F1" s="25"/>
    </row>
    <row r="2" spans="1:6" ht="30" customHeight="1" x14ac:dyDescent="0.3">
      <c r="A2" s="26" t="s">
        <v>1</v>
      </c>
      <c r="B2" s="25"/>
      <c r="C2" s="25"/>
      <c r="D2" s="25"/>
      <c r="E2" s="25"/>
      <c r="F2" s="25"/>
    </row>
    <row r="4" spans="1:6" ht="19.95" customHeight="1" x14ac:dyDescent="0.3">
      <c r="A4" s="1" t="s">
        <v>2</v>
      </c>
    </row>
    <row r="6" spans="1:6" ht="18" customHeight="1" x14ac:dyDescent="0.3">
      <c r="A6" s="2" t="s">
        <v>3</v>
      </c>
      <c r="B6" s="27" t="s">
        <v>4</v>
      </c>
      <c r="C6" s="25"/>
      <c r="D6" s="25"/>
      <c r="E6" s="25"/>
      <c r="F6" s="25"/>
    </row>
    <row r="7" spans="1:6" ht="18" customHeight="1" x14ac:dyDescent="0.3">
      <c r="A7" s="2" t="s">
        <v>5</v>
      </c>
      <c r="B7" s="27" t="s">
        <v>6</v>
      </c>
      <c r="C7" s="25"/>
      <c r="D7" s="25"/>
      <c r="E7" s="25"/>
      <c r="F7" s="25"/>
    </row>
    <row r="8" spans="1:6" ht="18" customHeight="1" x14ac:dyDescent="0.3">
      <c r="A8" s="2" t="s">
        <v>7</v>
      </c>
      <c r="B8" s="27" t="s">
        <v>8</v>
      </c>
      <c r="C8" s="25"/>
      <c r="D8" s="25"/>
      <c r="E8" s="25"/>
      <c r="F8" s="25"/>
    </row>
    <row r="9" spans="1:6" ht="18" customHeight="1" x14ac:dyDescent="0.3">
      <c r="A9" s="2" t="s">
        <v>9</v>
      </c>
      <c r="B9" s="27" t="s">
        <v>10</v>
      </c>
      <c r="C9" s="25"/>
      <c r="D9" s="25"/>
      <c r="E9" s="25"/>
      <c r="F9" s="25"/>
    </row>
    <row r="10" spans="1:6" ht="18" customHeight="1" x14ac:dyDescent="0.3">
      <c r="A10" s="2" t="s">
        <v>11</v>
      </c>
      <c r="B10" s="27" t="s">
        <v>12</v>
      </c>
      <c r="C10" s="25"/>
      <c r="D10" s="25"/>
      <c r="E10" s="25"/>
      <c r="F10" s="25"/>
    </row>
    <row r="11" spans="1:6" ht="18" customHeight="1" x14ac:dyDescent="0.3">
      <c r="A11" s="2" t="s">
        <v>13</v>
      </c>
      <c r="B11" s="27" t="s">
        <v>14</v>
      </c>
      <c r="C11" s="25"/>
      <c r="D11" s="25"/>
      <c r="E11" s="25"/>
      <c r="F11" s="25"/>
    </row>
    <row r="12" spans="1:6" ht="18" customHeight="1" x14ac:dyDescent="0.3">
      <c r="A12" s="2" t="s">
        <v>15</v>
      </c>
      <c r="B12" s="27" t="s">
        <v>16</v>
      </c>
      <c r="C12" s="25"/>
      <c r="D12" s="25"/>
      <c r="E12" s="25"/>
      <c r="F12" s="25"/>
    </row>
    <row r="13" spans="1:6" ht="18" customHeight="1" x14ac:dyDescent="0.3">
      <c r="A13" s="2" t="s">
        <v>17</v>
      </c>
      <c r="B13" s="27" t="s">
        <v>18</v>
      </c>
      <c r="C13" s="25"/>
      <c r="D13" s="25"/>
      <c r="E13" s="25"/>
      <c r="F13" s="25"/>
    </row>
    <row r="16" spans="1:6" ht="19.95" customHeight="1" x14ac:dyDescent="0.3">
      <c r="A16" s="1" t="s">
        <v>19</v>
      </c>
    </row>
    <row r="18" spans="1:6" ht="19.95" customHeight="1" x14ac:dyDescent="0.3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24</v>
      </c>
      <c r="F18" s="3" t="s">
        <v>25</v>
      </c>
    </row>
    <row r="19" spans="1:6" ht="18" customHeight="1" x14ac:dyDescent="0.3">
      <c r="A19" s="4" t="s">
        <v>26</v>
      </c>
      <c r="B19" s="4" t="s">
        <v>27</v>
      </c>
      <c r="C19" s="5">
        <v>50</v>
      </c>
      <c r="D19" s="5">
        <v>112.5</v>
      </c>
      <c r="E19" s="6">
        <f>C19*D19</f>
        <v>5625</v>
      </c>
      <c r="F19" s="4" t="s">
        <v>28</v>
      </c>
    </row>
    <row r="20" spans="1:6" ht="18" customHeight="1" x14ac:dyDescent="0.3">
      <c r="A20" s="7" t="s">
        <v>29</v>
      </c>
      <c r="B20" s="7" t="s">
        <v>30</v>
      </c>
      <c r="C20" s="8">
        <v>30</v>
      </c>
      <c r="D20" s="8">
        <v>76.2</v>
      </c>
      <c r="E20" s="9">
        <f>C20*D20</f>
        <v>2286</v>
      </c>
      <c r="F20" s="7" t="s">
        <v>31</v>
      </c>
    </row>
    <row r="21" spans="1:6" ht="18" customHeight="1" x14ac:dyDescent="0.3">
      <c r="A21" s="4" t="s">
        <v>32</v>
      </c>
      <c r="B21" s="4" t="s">
        <v>33</v>
      </c>
      <c r="C21" s="5">
        <v>80</v>
      </c>
      <c r="D21" s="5">
        <v>173</v>
      </c>
      <c r="E21" s="6">
        <f>C21*D21</f>
        <v>13840</v>
      </c>
      <c r="F21" s="4" t="s">
        <v>34</v>
      </c>
    </row>
    <row r="24" spans="1:6" ht="18" customHeight="1" x14ac:dyDescent="0.3">
      <c r="A24" s="24" t="s">
        <v>35</v>
      </c>
      <c r="B24" s="25"/>
      <c r="C24" s="25"/>
      <c r="D24" s="25"/>
      <c r="E24" s="25"/>
      <c r="F24" s="25"/>
    </row>
  </sheetData>
  <mergeCells count="11">
    <mergeCell ref="A1:F1"/>
    <mergeCell ref="B11:F11"/>
    <mergeCell ref="B8:F8"/>
    <mergeCell ref="B9:F9"/>
    <mergeCell ref="B13:F13"/>
    <mergeCell ref="A24:F24"/>
    <mergeCell ref="A2:F2"/>
    <mergeCell ref="B12:F12"/>
    <mergeCell ref="B7:F7"/>
    <mergeCell ref="B6:F6"/>
    <mergeCell ref="B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showGridLines="0" tabSelected="1" workbookViewId="0">
      <pane ySplit="3" topLeftCell="A4" activePane="bottomLeft" state="frozen"/>
      <selection pane="bottomLeft" activeCell="D4" sqref="D4:D13"/>
    </sheetView>
  </sheetViews>
  <sheetFormatPr defaultRowHeight="14.4" x14ac:dyDescent="0.3"/>
  <cols>
    <col min="1" max="1" width="16" customWidth="1"/>
    <col min="2" max="2" width="67.77734375" bestFit="1" customWidth="1"/>
    <col min="3" max="3" width="13" customWidth="1"/>
    <col min="4" max="4" width="20" customWidth="1"/>
    <col min="5" max="5" width="18" customWidth="1"/>
    <col min="6" max="6" width="28" customWidth="1"/>
  </cols>
  <sheetData>
    <row r="1" spans="1:6" ht="45" customHeight="1" x14ac:dyDescent="0.3">
      <c r="A1" s="31" t="s">
        <v>36</v>
      </c>
      <c r="B1" s="25"/>
      <c r="C1" s="25"/>
      <c r="D1" s="25"/>
      <c r="E1" s="25"/>
      <c r="F1" s="25"/>
    </row>
    <row r="3" spans="1:6" ht="24" customHeight="1" x14ac:dyDescent="0.3">
      <c r="A3" s="10" t="s">
        <v>37</v>
      </c>
      <c r="B3" s="10" t="s">
        <v>21</v>
      </c>
      <c r="C3" s="10" t="s">
        <v>38</v>
      </c>
      <c r="D3" s="10" t="s">
        <v>23</v>
      </c>
      <c r="E3" s="10" t="s">
        <v>24</v>
      </c>
      <c r="F3" s="10" t="s">
        <v>25</v>
      </c>
    </row>
    <row r="4" spans="1:6" ht="19.95" customHeight="1" x14ac:dyDescent="0.3">
      <c r="A4" s="11" t="s">
        <v>41</v>
      </c>
      <c r="B4" s="12" t="s">
        <v>51</v>
      </c>
      <c r="C4" s="13">
        <v>118</v>
      </c>
      <c r="D4" s="14">
        <v>81.606269999999995</v>
      </c>
      <c r="E4" s="15">
        <f t="shared" ref="E4:E33" si="0">IF(AND(C4&lt;&gt;"",D4&lt;&gt;""),C4*D4,"")</f>
        <v>9629.539859999999</v>
      </c>
      <c r="F4" s="16"/>
    </row>
    <row r="5" spans="1:6" ht="19.95" customHeight="1" x14ac:dyDescent="0.3">
      <c r="A5" s="17" t="s">
        <v>42</v>
      </c>
      <c r="B5" s="18" t="s">
        <v>52</v>
      </c>
      <c r="C5" s="19">
        <v>2481</v>
      </c>
      <c r="D5" s="20">
        <v>10.526020000000001</v>
      </c>
      <c r="E5" s="21">
        <f t="shared" si="0"/>
        <v>26115.055620000003</v>
      </c>
      <c r="F5" s="22"/>
    </row>
    <row r="6" spans="1:6" ht="19.95" customHeight="1" x14ac:dyDescent="0.3">
      <c r="A6" s="11" t="s">
        <v>43</v>
      </c>
      <c r="B6" s="12" t="s">
        <v>53</v>
      </c>
      <c r="C6" s="13">
        <v>98</v>
      </c>
      <c r="D6" s="14">
        <v>50.51</v>
      </c>
      <c r="E6" s="15">
        <f t="shared" si="0"/>
        <v>4949.9799999999996</v>
      </c>
      <c r="F6" s="16"/>
    </row>
    <row r="7" spans="1:6" ht="19.95" customHeight="1" x14ac:dyDescent="0.3">
      <c r="A7" s="17" t="s">
        <v>44</v>
      </c>
      <c r="B7" s="18" t="s">
        <v>54</v>
      </c>
      <c r="C7" s="19">
        <v>475</v>
      </c>
      <c r="D7" s="20">
        <v>21.035</v>
      </c>
      <c r="E7" s="21">
        <f t="shared" si="0"/>
        <v>9991.625</v>
      </c>
      <c r="F7" s="22"/>
    </row>
    <row r="8" spans="1:6" ht="19.95" customHeight="1" x14ac:dyDescent="0.3">
      <c r="A8" s="11" t="s">
        <v>45</v>
      </c>
      <c r="B8" s="12" t="s">
        <v>55</v>
      </c>
      <c r="C8" s="13">
        <v>625</v>
      </c>
      <c r="D8" s="14">
        <v>41.102240000000002</v>
      </c>
      <c r="E8" s="15">
        <f t="shared" si="0"/>
        <v>25688.9</v>
      </c>
      <c r="F8" s="16"/>
    </row>
    <row r="9" spans="1:6" ht="19.95" customHeight="1" x14ac:dyDescent="0.3">
      <c r="A9" s="17" t="s">
        <v>46</v>
      </c>
      <c r="B9" s="18" t="s">
        <v>56</v>
      </c>
      <c r="C9" s="19">
        <v>101</v>
      </c>
      <c r="D9" s="20">
        <v>144.37888000000001</v>
      </c>
      <c r="E9" s="21">
        <f t="shared" si="0"/>
        <v>14582.266880000001</v>
      </c>
      <c r="F9" s="22"/>
    </row>
    <row r="10" spans="1:6" ht="19.95" customHeight="1" x14ac:dyDescent="0.3">
      <c r="A10" s="11" t="s">
        <v>47</v>
      </c>
      <c r="B10" s="12" t="s">
        <v>57</v>
      </c>
      <c r="C10" s="13">
        <v>69</v>
      </c>
      <c r="D10" s="14">
        <v>516.41826000000003</v>
      </c>
      <c r="E10" s="15">
        <f t="shared" si="0"/>
        <v>35632.859940000002</v>
      </c>
      <c r="F10" s="16"/>
    </row>
    <row r="11" spans="1:6" ht="19.95" customHeight="1" x14ac:dyDescent="0.3">
      <c r="A11" s="17" t="s">
        <v>48</v>
      </c>
      <c r="B11" s="18" t="s">
        <v>58</v>
      </c>
      <c r="C11" s="19">
        <v>96</v>
      </c>
      <c r="D11" s="20">
        <v>52.38</v>
      </c>
      <c r="E11" s="21">
        <f t="shared" si="0"/>
        <v>5028.4800000000005</v>
      </c>
      <c r="F11" s="22"/>
    </row>
    <row r="12" spans="1:6" ht="19.95" customHeight="1" x14ac:dyDescent="0.3">
      <c r="A12" s="11" t="s">
        <v>49</v>
      </c>
      <c r="B12" s="12" t="s">
        <v>59</v>
      </c>
      <c r="C12" s="13">
        <v>87</v>
      </c>
      <c r="D12" s="14">
        <v>113.5339</v>
      </c>
      <c r="E12" s="15">
        <f t="shared" si="0"/>
        <v>9877.4493000000002</v>
      </c>
      <c r="F12" s="16"/>
    </row>
    <row r="13" spans="1:6" ht="19.95" customHeight="1" x14ac:dyDescent="0.3">
      <c r="A13" s="17" t="s">
        <v>50</v>
      </c>
      <c r="B13" s="18" t="s">
        <v>60</v>
      </c>
      <c r="C13" s="19">
        <v>1215</v>
      </c>
      <c r="D13" s="20">
        <v>5.1083999999999996</v>
      </c>
      <c r="E13" s="21">
        <f t="shared" si="0"/>
        <v>6206.7059999999992</v>
      </c>
      <c r="F13" s="22"/>
    </row>
    <row r="14" spans="1:6" ht="19.95" customHeight="1" x14ac:dyDescent="0.3">
      <c r="A14" s="11"/>
      <c r="B14" s="12"/>
      <c r="C14" s="13"/>
      <c r="D14" s="14"/>
      <c r="E14" s="15" t="str">
        <f t="shared" si="0"/>
        <v/>
      </c>
      <c r="F14" s="16"/>
    </row>
    <row r="15" spans="1:6" ht="19.95" customHeight="1" x14ac:dyDescent="0.3">
      <c r="A15" s="17"/>
      <c r="B15" s="18"/>
      <c r="C15" s="19"/>
      <c r="D15" s="20"/>
      <c r="E15" s="21" t="str">
        <f t="shared" si="0"/>
        <v/>
      </c>
      <c r="F15" s="22"/>
    </row>
    <row r="16" spans="1:6" ht="19.95" customHeight="1" x14ac:dyDescent="0.3">
      <c r="A16" s="11"/>
      <c r="B16" s="12"/>
      <c r="C16" s="13"/>
      <c r="D16" s="14"/>
      <c r="E16" s="15" t="str">
        <f t="shared" si="0"/>
        <v/>
      </c>
      <c r="F16" s="16"/>
    </row>
    <row r="17" spans="1:6" ht="19.95" customHeight="1" x14ac:dyDescent="0.3">
      <c r="A17" s="17"/>
      <c r="B17" s="18"/>
      <c r="C17" s="19"/>
      <c r="D17" s="20"/>
      <c r="E17" s="21" t="str">
        <f t="shared" si="0"/>
        <v/>
      </c>
      <c r="F17" s="22"/>
    </row>
    <row r="18" spans="1:6" ht="19.95" customHeight="1" x14ac:dyDescent="0.3">
      <c r="A18" s="11"/>
      <c r="B18" s="12"/>
      <c r="C18" s="13"/>
      <c r="D18" s="14"/>
      <c r="E18" s="15" t="str">
        <f t="shared" si="0"/>
        <v/>
      </c>
      <c r="F18" s="16"/>
    </row>
    <row r="19" spans="1:6" ht="19.95" customHeight="1" x14ac:dyDescent="0.3">
      <c r="A19" s="17"/>
      <c r="B19" s="18"/>
      <c r="C19" s="19"/>
      <c r="D19" s="20"/>
      <c r="E19" s="21" t="str">
        <f t="shared" si="0"/>
        <v/>
      </c>
      <c r="F19" s="22"/>
    </row>
    <row r="20" spans="1:6" ht="19.95" customHeight="1" x14ac:dyDescent="0.3">
      <c r="A20" s="11"/>
      <c r="B20" s="12"/>
      <c r="C20" s="13"/>
      <c r="D20" s="14"/>
      <c r="E20" s="15" t="str">
        <f t="shared" si="0"/>
        <v/>
      </c>
      <c r="F20" s="16"/>
    </row>
    <row r="21" spans="1:6" ht="19.95" customHeight="1" x14ac:dyDescent="0.3">
      <c r="A21" s="17"/>
      <c r="B21" s="18"/>
      <c r="C21" s="19"/>
      <c r="D21" s="20"/>
      <c r="E21" s="21" t="str">
        <f t="shared" si="0"/>
        <v/>
      </c>
      <c r="F21" s="22"/>
    </row>
    <row r="22" spans="1:6" ht="19.95" customHeight="1" x14ac:dyDescent="0.3">
      <c r="A22" s="11"/>
      <c r="B22" s="12"/>
      <c r="C22" s="13"/>
      <c r="D22" s="14"/>
      <c r="E22" s="15" t="str">
        <f t="shared" si="0"/>
        <v/>
      </c>
      <c r="F22" s="16"/>
    </row>
    <row r="23" spans="1:6" ht="19.95" customHeight="1" x14ac:dyDescent="0.3">
      <c r="A23" s="17"/>
      <c r="B23" s="18"/>
      <c r="C23" s="19"/>
      <c r="D23" s="20"/>
      <c r="E23" s="21" t="str">
        <f t="shared" si="0"/>
        <v/>
      </c>
      <c r="F23" s="22"/>
    </row>
    <row r="24" spans="1:6" ht="19.95" customHeight="1" x14ac:dyDescent="0.3">
      <c r="A24" s="11"/>
      <c r="B24" s="12"/>
      <c r="C24" s="13"/>
      <c r="D24" s="14"/>
      <c r="E24" s="15" t="str">
        <f t="shared" si="0"/>
        <v/>
      </c>
      <c r="F24" s="16"/>
    </row>
    <row r="25" spans="1:6" ht="19.95" customHeight="1" x14ac:dyDescent="0.3">
      <c r="A25" s="17"/>
      <c r="B25" s="18"/>
      <c r="C25" s="19"/>
      <c r="D25" s="20"/>
      <c r="E25" s="21" t="str">
        <f t="shared" si="0"/>
        <v/>
      </c>
      <c r="F25" s="22"/>
    </row>
    <row r="26" spans="1:6" ht="19.95" customHeight="1" x14ac:dyDescent="0.3">
      <c r="A26" s="11"/>
      <c r="B26" s="12"/>
      <c r="C26" s="13"/>
      <c r="D26" s="14"/>
      <c r="E26" s="15" t="str">
        <f t="shared" si="0"/>
        <v/>
      </c>
      <c r="F26" s="16"/>
    </row>
    <row r="27" spans="1:6" ht="19.95" customHeight="1" x14ac:dyDescent="0.3">
      <c r="A27" s="17"/>
      <c r="B27" s="18"/>
      <c r="C27" s="19"/>
      <c r="D27" s="20"/>
      <c r="E27" s="21" t="str">
        <f t="shared" si="0"/>
        <v/>
      </c>
      <c r="F27" s="22"/>
    </row>
    <row r="28" spans="1:6" ht="19.95" customHeight="1" x14ac:dyDescent="0.3">
      <c r="A28" s="11"/>
      <c r="B28" s="12"/>
      <c r="C28" s="13"/>
      <c r="D28" s="14"/>
      <c r="E28" s="15" t="str">
        <f t="shared" si="0"/>
        <v/>
      </c>
      <c r="F28" s="16"/>
    </row>
    <row r="29" spans="1:6" ht="19.95" customHeight="1" x14ac:dyDescent="0.3">
      <c r="A29" s="17"/>
      <c r="B29" s="18"/>
      <c r="C29" s="19"/>
      <c r="D29" s="20"/>
      <c r="E29" s="21" t="str">
        <f t="shared" si="0"/>
        <v/>
      </c>
      <c r="F29" s="22"/>
    </row>
    <row r="30" spans="1:6" ht="19.95" customHeight="1" x14ac:dyDescent="0.3">
      <c r="A30" s="11"/>
      <c r="B30" s="12"/>
      <c r="C30" s="13"/>
      <c r="D30" s="14"/>
      <c r="E30" s="15" t="str">
        <f t="shared" si="0"/>
        <v/>
      </c>
      <c r="F30" s="16"/>
    </row>
    <row r="31" spans="1:6" ht="19.95" customHeight="1" x14ac:dyDescent="0.3">
      <c r="A31" s="17"/>
      <c r="B31" s="18"/>
      <c r="C31" s="19"/>
      <c r="D31" s="20"/>
      <c r="E31" s="21" t="str">
        <f t="shared" si="0"/>
        <v/>
      </c>
      <c r="F31" s="22"/>
    </row>
    <row r="32" spans="1:6" ht="19.95" customHeight="1" x14ac:dyDescent="0.3">
      <c r="A32" s="11"/>
      <c r="B32" s="12"/>
      <c r="C32" s="13"/>
      <c r="D32" s="14"/>
      <c r="E32" s="15" t="str">
        <f t="shared" si="0"/>
        <v/>
      </c>
      <c r="F32" s="16"/>
    </row>
    <row r="33" spans="1:6" ht="19.95" customHeight="1" x14ac:dyDescent="0.3">
      <c r="A33" s="17"/>
      <c r="B33" s="18"/>
      <c r="C33" s="19"/>
      <c r="D33" s="20"/>
      <c r="E33" s="21" t="str">
        <f t="shared" si="0"/>
        <v/>
      </c>
      <c r="F33" s="22"/>
    </row>
    <row r="34" spans="1:6" ht="24" customHeight="1" x14ac:dyDescent="0.3">
      <c r="A34" s="30" t="s">
        <v>39</v>
      </c>
      <c r="B34" s="25"/>
      <c r="C34" s="25"/>
      <c r="D34" s="25"/>
      <c r="E34" s="23">
        <f>SUM(E4:E33)</f>
        <v>147702.86260000002</v>
      </c>
      <c r="F34" s="32"/>
    </row>
    <row r="36" spans="1:6" ht="18" customHeight="1" x14ac:dyDescent="0.3">
      <c r="A36" s="29" t="s">
        <v>40</v>
      </c>
      <c r="B36" s="25"/>
      <c r="C36" s="25"/>
      <c r="D36" s="25"/>
      <c r="E36" s="25"/>
      <c r="F36" s="25"/>
    </row>
  </sheetData>
  <mergeCells count="4">
    <mergeCell ref="A36:F36"/>
    <mergeCell ref="A34:D34"/>
    <mergeCell ref="A1:F1"/>
    <mergeCell ref="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Istruzioni</vt:lpstr>
      <vt:lpstr>Portafoglio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Ragni</cp:lastModifiedBy>
  <dcterms:created xsi:type="dcterms:W3CDTF">2026-04-14T13:03:31Z</dcterms:created>
  <dcterms:modified xsi:type="dcterms:W3CDTF">2026-04-14T15:18:41Z</dcterms:modified>
</cp:coreProperties>
</file>